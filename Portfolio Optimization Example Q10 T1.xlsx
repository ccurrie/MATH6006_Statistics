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currie_soton_ac_uk/Documents/Documents/Teaching/MATH6006 Stoch Proc and Stats/Statistics Section/"/>
    </mc:Choice>
  </mc:AlternateContent>
  <xr:revisionPtr revIDLastSave="0" documentId="8_{2EFD0558-0F3B-41F6-90FC-FFF47E3B44DF}" xr6:coauthVersionLast="47" xr6:coauthVersionMax="47" xr10:uidLastSave="{00000000-0000-0000-0000-000000000000}"/>
  <bookViews>
    <workbookView xWindow="-110" yWindow="-110" windowWidth="19420" windowHeight="11500" xr2:uid="{E63EE7DA-4D19-4636-9A49-E92D4858A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  <c r="C25" i="1"/>
  <c r="B25" i="1"/>
  <c r="C24" i="1"/>
  <c r="B24" i="1"/>
  <c r="B28" i="1" l="1"/>
  <c r="B29" i="1"/>
</calcChain>
</file>

<file path=xl/sharedStrings.xml><?xml version="1.0" encoding="utf-8"?>
<sst xmlns="http://schemas.openxmlformats.org/spreadsheetml/2006/main" count="7" uniqueCount="7">
  <si>
    <t>a</t>
  </si>
  <si>
    <t>b</t>
  </si>
  <si>
    <t>Variance</t>
  </si>
  <si>
    <t>Mean</t>
  </si>
  <si>
    <t>Covariance</t>
  </si>
  <si>
    <t>Coefficient of variation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</si>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</sst>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Sheet1!$B$3:$B$22</c:f>
              <c:numCache>
                <c:formatCode>General</c:formatCode>
                <c:ptCount val="20"/>
                <c:pt idx="0">
                  <c:v>92</c:v>
                </c:pt>
                <c:pt idx="1">
                  <c:v>86</c:v>
                </c:pt>
                <c:pt idx="2">
                  <c:v>90</c:v>
                </c:pt>
                <c:pt idx="3">
                  <c:v>86</c:v>
                </c:pt>
                <c:pt idx="4">
                  <c:v>95</c:v>
                </c:pt>
                <c:pt idx="5">
                  <c:v>92</c:v>
                </c:pt>
                <c:pt idx="6">
                  <c:v>96</c:v>
                </c:pt>
                <c:pt idx="7">
                  <c:v>102</c:v>
                </c:pt>
                <c:pt idx="8">
                  <c:v>106</c:v>
                </c:pt>
                <c:pt idx="9">
                  <c:v>96</c:v>
                </c:pt>
                <c:pt idx="10">
                  <c:v>95</c:v>
                </c:pt>
                <c:pt idx="11">
                  <c:v>102</c:v>
                </c:pt>
                <c:pt idx="12">
                  <c:v>101</c:v>
                </c:pt>
                <c:pt idx="13">
                  <c:v>107</c:v>
                </c:pt>
                <c:pt idx="14">
                  <c:v>106</c:v>
                </c:pt>
                <c:pt idx="15">
                  <c:v>110</c:v>
                </c:pt>
                <c:pt idx="16">
                  <c:v>103</c:v>
                </c:pt>
                <c:pt idx="17">
                  <c:v>107</c:v>
                </c:pt>
                <c:pt idx="18">
                  <c:v>116</c:v>
                </c:pt>
                <c:pt idx="19">
                  <c:v>112</c:v>
                </c:pt>
              </c:numCache>
            </c:numRef>
          </c:xVal>
          <c:yVal>
            <c:numRef>
              <c:f>Sheet1!$C$3:$C$22</c:f>
              <c:numCache>
                <c:formatCode>General</c:formatCode>
                <c:ptCount val="20"/>
                <c:pt idx="0">
                  <c:v>127</c:v>
                </c:pt>
                <c:pt idx="1">
                  <c:v>114</c:v>
                </c:pt>
                <c:pt idx="2">
                  <c:v>141</c:v>
                </c:pt>
                <c:pt idx="3">
                  <c:v>113</c:v>
                </c:pt>
                <c:pt idx="4">
                  <c:v>128</c:v>
                </c:pt>
                <c:pt idx="5">
                  <c:v>115</c:v>
                </c:pt>
                <c:pt idx="6">
                  <c:v>84</c:v>
                </c:pt>
                <c:pt idx="7">
                  <c:v>101</c:v>
                </c:pt>
                <c:pt idx="8">
                  <c:v>96</c:v>
                </c:pt>
                <c:pt idx="9">
                  <c:v>119</c:v>
                </c:pt>
                <c:pt idx="10">
                  <c:v>93</c:v>
                </c:pt>
                <c:pt idx="11">
                  <c:v>88</c:v>
                </c:pt>
                <c:pt idx="12">
                  <c:v>79</c:v>
                </c:pt>
                <c:pt idx="13">
                  <c:v>103</c:v>
                </c:pt>
                <c:pt idx="14">
                  <c:v>63</c:v>
                </c:pt>
                <c:pt idx="15">
                  <c:v>60</c:v>
                </c:pt>
                <c:pt idx="16">
                  <c:v>116</c:v>
                </c:pt>
                <c:pt idx="17">
                  <c:v>82</c:v>
                </c:pt>
                <c:pt idx="18">
                  <c:v>82</c:v>
                </c:pt>
                <c:pt idx="19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3-4466-8193-13A515274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43759"/>
        <c:axId val="685000175"/>
      </c:scatterChart>
      <c:valAx>
        <c:axId val="63434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00175"/>
        <c:crosses val="autoZero"/>
        <c:crossBetween val="midCat"/>
      </c:valAx>
      <c:valAx>
        <c:axId val="6850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4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C27AD-7B3A-B7C4-E7A6-CD2AB0BB4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4DD4-2067-45C6-B775-C4FC9A81AFBA}">
  <dimension ref="A2:C29"/>
  <sheetViews>
    <sheetView tabSelected="1" topLeftCell="A8" workbookViewId="0">
      <selection activeCell="B28" sqref="B28"/>
    </sheetView>
  </sheetViews>
  <sheetFormatPr defaultRowHeight="14.5" x14ac:dyDescent="0.35"/>
  <sheetData>
    <row r="2" spans="1:3" x14ac:dyDescent="0.35">
      <c r="B2" t="s">
        <v>0</v>
      </c>
      <c r="C2" t="s">
        <v>1</v>
      </c>
    </row>
    <row r="3" spans="1:3" x14ac:dyDescent="0.35">
      <c r="A3">
        <v>1</v>
      </c>
      <c r="B3">
        <v>92</v>
      </c>
      <c r="C3">
        <v>127</v>
      </c>
    </row>
    <row r="4" spans="1:3" x14ac:dyDescent="0.35">
      <c r="A4">
        <v>2</v>
      </c>
      <c r="B4">
        <v>86</v>
      </c>
      <c r="C4">
        <v>114</v>
      </c>
    </row>
    <row r="5" spans="1:3" x14ac:dyDescent="0.35">
      <c r="A5">
        <v>3</v>
      </c>
      <c r="B5">
        <v>90</v>
      </c>
      <c r="C5">
        <v>141</v>
      </c>
    </row>
    <row r="6" spans="1:3" x14ac:dyDescent="0.35">
      <c r="A6">
        <v>4</v>
      </c>
      <c r="B6">
        <v>86</v>
      </c>
      <c r="C6">
        <v>113</v>
      </c>
    </row>
    <row r="7" spans="1:3" x14ac:dyDescent="0.35">
      <c r="A7">
        <v>5</v>
      </c>
      <c r="B7">
        <v>95</v>
      </c>
      <c r="C7">
        <v>128</v>
      </c>
    </row>
    <row r="8" spans="1:3" x14ac:dyDescent="0.35">
      <c r="A8">
        <v>6</v>
      </c>
      <c r="B8">
        <v>92</v>
      </c>
      <c r="C8">
        <v>115</v>
      </c>
    </row>
    <row r="9" spans="1:3" x14ac:dyDescent="0.35">
      <c r="A9">
        <v>7</v>
      </c>
      <c r="B9">
        <v>96</v>
      </c>
      <c r="C9">
        <v>84</v>
      </c>
    </row>
    <row r="10" spans="1:3" x14ac:dyDescent="0.35">
      <c r="A10">
        <v>8</v>
      </c>
      <c r="B10">
        <v>102</v>
      </c>
      <c r="C10">
        <v>101</v>
      </c>
    </row>
    <row r="11" spans="1:3" x14ac:dyDescent="0.35">
      <c r="A11">
        <v>9</v>
      </c>
      <c r="B11">
        <v>106</v>
      </c>
      <c r="C11">
        <v>96</v>
      </c>
    </row>
    <row r="12" spans="1:3" x14ac:dyDescent="0.35">
      <c r="A12">
        <v>10</v>
      </c>
      <c r="B12">
        <v>96</v>
      </c>
      <c r="C12">
        <v>119</v>
      </c>
    </row>
    <row r="13" spans="1:3" x14ac:dyDescent="0.35">
      <c r="A13">
        <v>11</v>
      </c>
      <c r="B13">
        <v>95</v>
      </c>
      <c r="C13">
        <v>93</v>
      </c>
    </row>
    <row r="14" spans="1:3" x14ac:dyDescent="0.35">
      <c r="A14">
        <v>12</v>
      </c>
      <c r="B14">
        <v>102</v>
      </c>
      <c r="C14">
        <v>88</v>
      </c>
    </row>
    <row r="15" spans="1:3" x14ac:dyDescent="0.35">
      <c r="A15">
        <v>13</v>
      </c>
      <c r="B15">
        <v>101</v>
      </c>
      <c r="C15">
        <v>79</v>
      </c>
    </row>
    <row r="16" spans="1:3" x14ac:dyDescent="0.35">
      <c r="A16">
        <v>14</v>
      </c>
      <c r="B16">
        <v>107</v>
      </c>
      <c r="C16">
        <v>103</v>
      </c>
    </row>
    <row r="17" spans="1:3" x14ac:dyDescent="0.35">
      <c r="A17">
        <v>15</v>
      </c>
      <c r="B17">
        <v>106</v>
      </c>
      <c r="C17">
        <v>63</v>
      </c>
    </row>
    <row r="18" spans="1:3" x14ac:dyDescent="0.35">
      <c r="A18">
        <v>16</v>
      </c>
      <c r="B18">
        <v>110</v>
      </c>
      <c r="C18">
        <v>60</v>
      </c>
    </row>
    <row r="19" spans="1:3" x14ac:dyDescent="0.35">
      <c r="A19">
        <v>17</v>
      </c>
      <c r="B19">
        <v>103</v>
      </c>
      <c r="C19">
        <v>116</v>
      </c>
    </row>
    <row r="20" spans="1:3" x14ac:dyDescent="0.35">
      <c r="A20">
        <v>18</v>
      </c>
      <c r="B20">
        <v>107</v>
      </c>
      <c r="C20">
        <v>82</v>
      </c>
    </row>
    <row r="21" spans="1:3" x14ac:dyDescent="0.35">
      <c r="A21">
        <v>19</v>
      </c>
      <c r="B21">
        <v>116</v>
      </c>
      <c r="C21">
        <v>82</v>
      </c>
    </row>
    <row r="22" spans="1:3" x14ac:dyDescent="0.35">
      <c r="A22">
        <v>20</v>
      </c>
      <c r="B22">
        <v>112</v>
      </c>
      <c r="C22">
        <v>96</v>
      </c>
    </row>
    <row r="24" spans="1:3" x14ac:dyDescent="0.35">
      <c r="A24" t="s">
        <v>3</v>
      </c>
      <c r="B24">
        <f>AVERAGE(B3:B22)</f>
        <v>100</v>
      </c>
      <c r="C24">
        <f>AVERAGE(C3:C22)</f>
        <v>100</v>
      </c>
    </row>
    <row r="25" spans="1:3" x14ac:dyDescent="0.35">
      <c r="A25" t="s">
        <v>2</v>
      </c>
      <c r="B25">
        <f>(_xlfn.STDEV.S(B3:B22))^2</f>
        <v>73.15789473684211</v>
      </c>
      <c r="C25">
        <f>(_xlfn.STDEV.S(C3:C22))^2</f>
        <v>471.0526315789474</v>
      </c>
    </row>
    <row r="27" spans="1:3" x14ac:dyDescent="0.35">
      <c r="A27" t="s">
        <v>4</v>
      </c>
      <c r="B27">
        <f>_xlfn.COVARIANCE.S(B3:B22,C3:C22)</f>
        <v>-122.26315789473684</v>
      </c>
    </row>
    <row r="28" spans="1:3" x14ac:dyDescent="0.35">
      <c r="A28" t="s">
        <v>5</v>
      </c>
      <c r="B28">
        <f>B27/(B24*C24)</f>
        <v>-1.2226315789473684E-2</v>
      </c>
    </row>
    <row r="29" spans="1:3" x14ac:dyDescent="0.35">
      <c r="A29" t="s">
        <v>6</v>
      </c>
      <c r="B29">
        <f>B27/SQRT(B25*C25)</f>
        <v>-0.65861298977062566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Currie</dc:creator>
  <cp:lastModifiedBy>Christine Currie</cp:lastModifiedBy>
  <dcterms:created xsi:type="dcterms:W3CDTF">2026-10-06T09:42:46Z</dcterms:created>
  <dcterms:modified xsi:type="dcterms:W3CDTF">2026-10-06T13:45:49Z</dcterms:modified>
</cp:coreProperties>
</file>